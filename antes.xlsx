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guel.delacruz\Downloads\"/>
    </mc:Choice>
  </mc:AlternateContent>
  <xr:revisionPtr revIDLastSave="0" documentId="8_{12117513-D5DC-40C1-803F-D19A481B9A0C}" xr6:coauthVersionLast="47" xr6:coauthVersionMax="47" xr10:uidLastSave="{00000000-0000-0000-0000-000000000000}"/>
  <bookViews>
    <workbookView xWindow="-120" yWindow="-120" windowWidth="29040" windowHeight="15840" xr2:uid="{AE0B4493-0D46-41A9-8E5E-498D64F1D8F5}"/>
  </bookViews>
  <sheets>
    <sheet name="Control Resoluciones" sheetId="2" r:id="rId1"/>
  </sheets>
  <definedNames>
    <definedName name="_xlnm._FilterDatabase" localSheetId="0" hidden="1">'Control Resoluciones'!$A$1:$AI$6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" i="2" l="1"/>
  <c r="AH5" i="2"/>
  <c r="AH4" i="2"/>
  <c r="AH3" i="2"/>
  <c r="AH2" i="2"/>
</calcChain>
</file>

<file path=xl/sharedStrings.xml><?xml version="1.0" encoding="utf-8"?>
<sst xmlns="http://schemas.openxmlformats.org/spreadsheetml/2006/main" count="104" uniqueCount="80">
  <si>
    <t>NIT</t>
  </si>
  <si>
    <t>Exp. SGD</t>
  </si>
  <si>
    <t xml:space="preserve"> F_Recepcion 
(dd/mm/yyyy)</t>
  </si>
  <si>
    <t>Entidad Empleadora</t>
  </si>
  <si>
    <t>RUC</t>
  </si>
  <si>
    <t>Asegurado</t>
  </si>
  <si>
    <t>DNI/CE</t>
  </si>
  <si>
    <t>Decisión Resolución</t>
  </si>
  <si>
    <t>Riego</t>
  </si>
  <si>
    <t>N°
Resolución</t>
  </si>
  <si>
    <t>AÑO</t>
  </si>
  <si>
    <t>F_Resolución
(dd/mm/yyyy)</t>
  </si>
  <si>
    <t>Correo</t>
  </si>
  <si>
    <t>Telef</t>
  </si>
  <si>
    <t>Comunicado vía Whatsapp</t>
  </si>
  <si>
    <t xml:space="preserve">Autorizacion Expresa </t>
  </si>
  <si>
    <t>Dirección Formulario 1040</t>
  </si>
  <si>
    <t>DISTRITO</t>
  </si>
  <si>
    <t>PROVINCIA</t>
  </si>
  <si>
    <t>DPTO.</t>
  </si>
  <si>
    <t>N° Sobre</t>
  </si>
  <si>
    <t>Fecha de Sobre NIT en el SIAD para Tramite Central</t>
  </si>
  <si>
    <t>Fecha de Notificación
(dd/mm/yyyy)</t>
  </si>
  <si>
    <t>Estado de Notificación</t>
  </si>
  <si>
    <t>Rotulo de FILE</t>
  </si>
  <si>
    <t>Decisión  Resolución</t>
  </si>
  <si>
    <t>Tipo Subsidio</t>
  </si>
  <si>
    <t>RUC / DNI 
(Empleador o beneficiario)</t>
  </si>
  <si>
    <t>Monto S/.</t>
  </si>
  <si>
    <t>Motivo Resol.</t>
  </si>
  <si>
    <t>Observaciones (Otros)</t>
  </si>
  <si>
    <t>Plazo de Espera
Días Hábiles
Improc. En parte 15 días
Recons. Fundado 0 días</t>
  </si>
  <si>
    <t>FECHA A DERIVARSE AL CALIFICADOR</t>
  </si>
  <si>
    <t>FECHA QUE SE ENTREGÓ AL CALIFICADOR</t>
  </si>
  <si>
    <t>2025</t>
  </si>
  <si>
    <t>NOTIFICADO</t>
  </si>
  <si>
    <t>EN</t>
  </si>
  <si>
    <t>IMPROCEDENTE</t>
  </si>
  <si>
    <t>MA</t>
  </si>
  <si>
    <t>NOTIFICADO Bajo Puerta</t>
  </si>
  <si>
    <t>SERVICIOS BASICOS DE SALUD CHILCA-MALA</t>
  </si>
  <si>
    <t>bienestarsocialsbschilcamala@gmail.com</t>
  </si>
  <si>
    <t>Se informó de Notificación Expresa por Whatsapp - 20.03.2026 Grupo 1</t>
  </si>
  <si>
    <t>MUNICIPALIDAD PROVINCIAL DE CAÑETE</t>
  </si>
  <si>
    <t>ksanchezramos17@gmail.com</t>
  </si>
  <si>
    <t>5115812387</t>
  </si>
  <si>
    <t>SOBRE 16</t>
  </si>
  <si>
    <t>SOBRE 17</t>
  </si>
  <si>
    <t>RECONSIDERACIÓN INFUNDADO</t>
  </si>
  <si>
    <t>SOBRE 34</t>
  </si>
  <si>
    <t>SOBRE 33</t>
  </si>
  <si>
    <t>SOBRE 32</t>
  </si>
  <si>
    <t>RESOLUCIONES IMPROCEDENCIA 2025 - TOMO 3</t>
  </si>
  <si>
    <t>CARGO DEVUELTO EL 05/02/2026 según SIAD</t>
  </si>
  <si>
    <t>ONE DRIVE RESOLUCIONES</t>
  </si>
  <si>
    <t>0947-2025-1421</t>
  </si>
  <si>
    <t>0048220250000824</t>
  </si>
  <si>
    <t xml:space="preserve">CHUMPITAZ CORDOVA ALBERTO HENRY </t>
  </si>
  <si>
    <t>000251</t>
  </si>
  <si>
    <t>51992442706</t>
  </si>
  <si>
    <t>0947-2025-1419</t>
  </si>
  <si>
    <t>0048220250000825</t>
  </si>
  <si>
    <t>DIAZ CUYA SUSANA EMILIA</t>
  </si>
  <si>
    <t>000252</t>
  </si>
  <si>
    <t>51951141240</t>
  </si>
  <si>
    <t>260E400175</t>
  </si>
  <si>
    <t>0048220250000826</t>
  </si>
  <si>
    <t>SANCHEZ CASTILLO ELENA KIARA MELISSA</t>
  </si>
  <si>
    <t>000253</t>
  </si>
  <si>
    <t>0947-2023-0238</t>
  </si>
  <si>
    <t>0048220250000827</t>
  </si>
  <si>
    <t>EMC GREEN GROUP S.A.C</t>
  </si>
  <si>
    <t>AYVAR CORDOVA VICTOR</t>
  </si>
  <si>
    <t>08558356</t>
  </si>
  <si>
    <t>000254</t>
  </si>
  <si>
    <t>ysabel.sandoval@incaone.com</t>
  </si>
  <si>
    <t>51932555779</t>
  </si>
  <si>
    <t>0947-2023-0239</t>
  </si>
  <si>
    <t>0048220250000828</t>
  </si>
  <si>
    <t>000255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</si>
</sst>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 Narrow"/>
      <family val="2"/>
    </font>
    <font>
      <b/>
      <sz val="8"/>
      <color theme="0"/>
      <name val="Arial Black"/>
      <family val="2"/>
    </font>
    <font>
      <sz val="9"/>
      <color rgb="FF000000"/>
      <name val="Arial Narrow"/>
      <family val="2"/>
    </font>
    <font>
      <u/>
      <sz val="9"/>
      <color rgb="FF000000"/>
      <name val="Calibri"/>
      <family val="2"/>
    </font>
    <font>
      <u/>
      <sz val="9"/>
      <color rgb="FF00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B7B7B7"/>
        <bgColor rgb="FFB7B7B7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/>
    </xf>
    <xf numFmtId="164" fontId="1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vertical="center"/>
    </xf>
    <xf numFmtId="1" fontId="3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vertical="center"/>
    </xf>
    <xf numFmtId="4" fontId="3" fillId="7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165" fontId="4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BB0B-809F-4CE7-88B8-89354CDC7F7C}">
  <sheetPr codeName="Hoja2"/>
  <dimension ref="A1:AI8"/>
  <sheetViews>
    <sheetView tabSelected="1" workbookViewId="0">
      <selection activeCell="C8" sqref="C8"/>
    </sheetView>
  </sheetViews>
  <sheetFormatPr baseColWidth="10" defaultRowHeight="15" x14ac:dyDescent="0.25"/>
  <sheetData>
    <row r="1" spans="1:35" ht="10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6" t="s">
        <v>23</v>
      </c>
      <c r="Y1" s="6"/>
      <c r="Z1" s="6" t="s">
        <v>24</v>
      </c>
      <c r="AA1" s="8" t="s">
        <v>25</v>
      </c>
      <c r="AB1" s="8" t="s">
        <v>26</v>
      </c>
      <c r="AC1" s="9" t="s">
        <v>27</v>
      </c>
      <c r="AD1" s="10" t="s">
        <v>28</v>
      </c>
      <c r="AE1" s="8" t="s">
        <v>29</v>
      </c>
      <c r="AF1" s="8" t="s">
        <v>30</v>
      </c>
      <c r="AG1" s="11" t="s">
        <v>31</v>
      </c>
      <c r="AH1" s="11" t="s">
        <v>32</v>
      </c>
      <c r="AI1" s="11" t="s">
        <v>33</v>
      </c>
    </row>
    <row r="2" spans="1:35" x14ac:dyDescent="0.25">
      <c r="A2" s="12" t="s">
        <v>55</v>
      </c>
      <c r="B2" s="15" t="s">
        <v>56</v>
      </c>
      <c r="C2" s="13">
        <v>45989</v>
      </c>
      <c r="D2" s="14" t="s">
        <v>40</v>
      </c>
      <c r="E2" s="15">
        <v>20225634085</v>
      </c>
      <c r="F2" s="14" t="s">
        <v>57</v>
      </c>
      <c r="G2" s="15">
        <v>10366944</v>
      </c>
      <c r="H2" s="16" t="s">
        <v>37</v>
      </c>
      <c r="I2" s="17" t="s">
        <v>36</v>
      </c>
      <c r="J2" s="15" t="s">
        <v>58</v>
      </c>
      <c r="K2" s="15" t="s">
        <v>34</v>
      </c>
      <c r="L2" s="17">
        <v>46019</v>
      </c>
      <c r="M2" s="24" t="s">
        <v>41</v>
      </c>
      <c r="N2" s="15" t="s">
        <v>59</v>
      </c>
      <c r="O2" s="15"/>
      <c r="P2" s="15"/>
      <c r="Q2" s="18"/>
      <c r="R2" s="18"/>
      <c r="S2" s="18"/>
      <c r="T2" s="18"/>
      <c r="U2" s="19" t="s">
        <v>46</v>
      </c>
      <c r="V2" s="13">
        <v>46027</v>
      </c>
      <c r="W2" s="17">
        <v>46133</v>
      </c>
      <c r="X2" s="20" t="s">
        <v>35</v>
      </c>
      <c r="Y2" s="20"/>
      <c r="Z2" s="17" t="s">
        <v>52</v>
      </c>
      <c r="AA2" s="12"/>
      <c r="AB2" s="12"/>
      <c r="AC2" s="12"/>
      <c r="AD2" s="21"/>
      <c r="AE2" s="12"/>
      <c r="AF2" s="22" t="s">
        <v>42</v>
      </c>
      <c r="AG2" s="22"/>
      <c r="AH2" s="17" t="str">
        <f>IF(W2="","",(IF(OR(H2="PROCEDENTE EN PARTE",H2="RECONSIDERACIÓN FUNDADO",H2="REINTEGRO/PROCEDENTE EN PARTE",H2="REINTEGRO/PROCEDENTE"),WORKDAY.INTL(W2,AG2,1,#REF!),"")))</f>
        <v/>
      </c>
      <c r="AI2" s="17"/>
    </row>
    <row r="3" spans="1:35" x14ac:dyDescent="0.25">
      <c r="A3" s="12" t="s">
        <v>60</v>
      </c>
      <c r="B3" s="15" t="s">
        <v>61</v>
      </c>
      <c r="C3" s="13">
        <v>45989</v>
      </c>
      <c r="D3" s="14" t="s">
        <v>40</v>
      </c>
      <c r="E3" s="15">
        <v>20225634085</v>
      </c>
      <c r="F3" s="14" t="s">
        <v>62</v>
      </c>
      <c r="G3" s="15">
        <v>41823031</v>
      </c>
      <c r="H3" s="16" t="s">
        <v>37</v>
      </c>
      <c r="I3" s="17" t="s">
        <v>36</v>
      </c>
      <c r="J3" s="15" t="s">
        <v>63</v>
      </c>
      <c r="K3" s="15" t="s">
        <v>34</v>
      </c>
      <c r="L3" s="17">
        <v>46019</v>
      </c>
      <c r="M3" s="24" t="s">
        <v>41</v>
      </c>
      <c r="N3" s="15" t="s">
        <v>64</v>
      </c>
      <c r="O3" s="15"/>
      <c r="P3" s="15"/>
      <c r="Q3" s="18"/>
      <c r="R3" s="18"/>
      <c r="S3" s="18"/>
      <c r="T3" s="18"/>
      <c r="U3" s="19" t="s">
        <v>47</v>
      </c>
      <c r="V3" s="13">
        <v>46027</v>
      </c>
      <c r="W3" s="17">
        <v>46041</v>
      </c>
      <c r="X3" s="20" t="s">
        <v>39</v>
      </c>
      <c r="Y3" s="20" t="s">
        <v>53</v>
      </c>
      <c r="Z3" s="17" t="s">
        <v>52</v>
      </c>
      <c r="AA3" s="12"/>
      <c r="AB3" s="12"/>
      <c r="AC3" s="12"/>
      <c r="AD3" s="21"/>
      <c r="AE3" s="12"/>
      <c r="AF3" s="22"/>
      <c r="AG3" s="22"/>
      <c r="AH3" s="17" t="str">
        <f>IF(W3="","",(IF(OR(H3="PROCEDENTE EN PARTE",H3="RECONSIDERACIÓN FUNDADO",H3="REINTEGRO/PROCEDENTE EN PARTE",H3="REINTEGRO/PROCEDENTE"),WORKDAY.INTL(W3,AG3,1,#REF!),"")))</f>
        <v/>
      </c>
      <c r="AI3" s="17"/>
    </row>
    <row r="4" spans="1:35" x14ac:dyDescent="0.25">
      <c r="A4" s="12" t="s">
        <v>65</v>
      </c>
      <c r="B4" s="15" t="s">
        <v>66</v>
      </c>
      <c r="C4" s="13">
        <v>45448</v>
      </c>
      <c r="D4" s="14" t="s">
        <v>43</v>
      </c>
      <c r="E4" s="15">
        <v>20154440373</v>
      </c>
      <c r="F4" s="14" t="s">
        <v>67</v>
      </c>
      <c r="G4" s="15">
        <v>46305595</v>
      </c>
      <c r="H4" s="16" t="s">
        <v>37</v>
      </c>
      <c r="I4" s="17" t="s">
        <v>38</v>
      </c>
      <c r="J4" s="15" t="s">
        <v>68</v>
      </c>
      <c r="K4" s="15" t="s">
        <v>34</v>
      </c>
      <c r="L4" s="17">
        <v>46019</v>
      </c>
      <c r="M4" s="24" t="s">
        <v>44</v>
      </c>
      <c r="N4" s="15" t="s">
        <v>45</v>
      </c>
      <c r="O4" s="15"/>
      <c r="P4" s="15"/>
      <c r="Q4" s="18"/>
      <c r="R4" s="18"/>
      <c r="S4" s="18"/>
      <c r="T4" s="18"/>
      <c r="U4" s="19" t="s">
        <v>49</v>
      </c>
      <c r="V4" s="13">
        <v>46029</v>
      </c>
      <c r="W4" s="17">
        <v>46037</v>
      </c>
      <c r="X4" s="20" t="s">
        <v>35</v>
      </c>
      <c r="Y4" s="20" t="s">
        <v>53</v>
      </c>
      <c r="Z4" s="17" t="s">
        <v>52</v>
      </c>
      <c r="AA4" s="12"/>
      <c r="AB4" s="12"/>
      <c r="AC4" s="12"/>
      <c r="AD4" s="21"/>
      <c r="AE4" s="12"/>
      <c r="AF4" s="22"/>
      <c r="AG4" s="22"/>
      <c r="AH4" s="17" t="str">
        <f>IF(W4="","",(IF(OR(H4="PROCEDENTE EN PARTE",H4="RECONSIDERACIÓN FUNDADO",H4="REINTEGRO/PROCEDENTE EN PARTE",H4="REINTEGRO/PROCEDENTE"),WORKDAY.INTL(W4,AG4,1,#REF!),"")))</f>
        <v/>
      </c>
      <c r="AI4" s="17"/>
    </row>
    <row r="5" spans="1:35" x14ac:dyDescent="0.25">
      <c r="A5" s="12" t="s">
        <v>69</v>
      </c>
      <c r="B5" s="15" t="s">
        <v>70</v>
      </c>
      <c r="C5" s="13">
        <v>45075</v>
      </c>
      <c r="D5" s="14" t="s">
        <v>71</v>
      </c>
      <c r="E5" s="15">
        <v>20543343898</v>
      </c>
      <c r="F5" s="14" t="s">
        <v>72</v>
      </c>
      <c r="G5" s="15" t="s">
        <v>73</v>
      </c>
      <c r="H5" s="16" t="s">
        <v>48</v>
      </c>
      <c r="I5" s="17" t="s">
        <v>36</v>
      </c>
      <c r="J5" s="15" t="s">
        <v>74</v>
      </c>
      <c r="K5" s="15" t="s">
        <v>34</v>
      </c>
      <c r="L5" s="17">
        <v>46020</v>
      </c>
      <c r="M5" s="23" t="s">
        <v>75</v>
      </c>
      <c r="N5" s="15" t="s">
        <v>76</v>
      </c>
      <c r="O5" s="15"/>
      <c r="P5" s="15"/>
      <c r="Q5" s="18"/>
      <c r="R5" s="18"/>
      <c r="S5" s="18"/>
      <c r="T5" s="18"/>
      <c r="U5" s="19" t="s">
        <v>50</v>
      </c>
      <c r="V5" s="13">
        <v>46028</v>
      </c>
      <c r="W5" s="17">
        <v>46038</v>
      </c>
      <c r="X5" s="20" t="s">
        <v>35</v>
      </c>
      <c r="Y5" s="20"/>
      <c r="Z5" s="17" t="s">
        <v>54</v>
      </c>
      <c r="AA5" s="15"/>
      <c r="AB5" s="15"/>
      <c r="AC5" s="15"/>
      <c r="AD5" s="25"/>
      <c r="AE5" s="15"/>
      <c r="AF5" s="18"/>
      <c r="AG5" s="22"/>
      <c r="AH5" s="17" t="str">
        <f>IF(W5="","",(IF(OR(H5="PROCEDENTE EN PARTE",H5="RECONSIDERACIÓN FUNDADO",H5="REINTEGRO/PROCEDENTE EN PARTE",H5="REINTEGRO/PROCEDENTE"),WORKDAY.INTL(W5,AG5,1,#REF!),"")))</f>
        <v/>
      </c>
      <c r="AI5" s="17"/>
    </row>
    <row r="6" spans="1:35" x14ac:dyDescent="0.25">
      <c r="A6" s="12" t="s">
        <v>77</v>
      </c>
      <c r="B6" s="15" t="s">
        <v>78</v>
      </c>
      <c r="C6" s="13">
        <v>45075</v>
      </c>
      <c r="D6" s="14" t="s">
        <v>71</v>
      </c>
      <c r="E6" s="15">
        <v>20543343898</v>
      </c>
      <c r="F6" s="14" t="s">
        <v>72</v>
      </c>
      <c r="G6" s="15" t="s">
        <v>73</v>
      </c>
      <c r="H6" s="16" t="s">
        <v>48</v>
      </c>
      <c r="I6" s="17" t="s">
        <v>36</v>
      </c>
      <c r="J6" s="15" t="s">
        <v>79</v>
      </c>
      <c r="K6" s="15" t="s">
        <v>34</v>
      </c>
      <c r="L6" s="17">
        <v>46020</v>
      </c>
      <c r="M6" s="23" t="s">
        <v>75</v>
      </c>
      <c r="N6" s="15" t="s">
        <v>76</v>
      </c>
      <c r="O6" s="15"/>
      <c r="P6" s="15"/>
      <c r="Q6" s="18"/>
      <c r="R6" s="18"/>
      <c r="S6" s="18"/>
      <c r="T6" s="18"/>
      <c r="U6" s="19" t="s">
        <v>51</v>
      </c>
      <c r="V6" s="13">
        <v>46028</v>
      </c>
      <c r="W6" s="17">
        <v>46038</v>
      </c>
      <c r="X6" s="20" t="s">
        <v>35</v>
      </c>
      <c r="Y6" s="20"/>
      <c r="Z6" s="17" t="s">
        <v>54</v>
      </c>
      <c r="AA6" s="15"/>
      <c r="AB6" s="15"/>
      <c r="AC6" s="15"/>
      <c r="AD6" s="25"/>
      <c r="AE6" s="15"/>
      <c r="AF6" s="18"/>
      <c r="AG6" s="22"/>
      <c r="AH6" s="17" t="str">
        <f>IF(W6="","",(IF(OR(H6="PROCEDENTE EN PARTE",H6="RECONSIDERACIÓN FUNDADO",H6="REINTEGRO/PROCEDENTE EN PARTE",H6="REINTEGRO/PROCEDENTE"),WORKDAY.INTL(W6,AG6,1,#REF!),"")))</f>
        <v/>
      </c>
      <c r="AI6" s="17"/>
    </row>
    <row r="7" spans="1:35" x14ac:dyDescent="0.25">
      <c r="A7" s="15"/>
    </row>
    <row r="8" spans="1:35" x14ac:dyDescent="0.25">
      <c r="A8" s="15"/>
    </row>
  </sheetData>
  <autoFilter ref="A1:AI6" xr:uid="{62E1BB0B-809F-4CE7-88B8-89354CDC7F7C}"/>
  <conditionalFormatting sqref="A1:A16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Resoluciones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 Cruz Cuenca Miguel Oscar</dc:creator>
  <cp:lastModifiedBy>De La Cruz Cuenca Miguel Oscar</cp:lastModifiedBy>
  <dcterms:created xsi:type="dcterms:W3CDTF">2026-08-28T20:36:51Z</dcterms:created>
  <dcterms:modified xsi:type="dcterms:W3CDTF">2026-09-24T15:25:57Z</dcterms:modified>
</cp:coreProperties>
</file>